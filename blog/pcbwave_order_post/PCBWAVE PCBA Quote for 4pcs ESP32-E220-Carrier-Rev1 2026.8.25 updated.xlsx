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00" tabRatio="368"/>
  </bookViews>
  <sheets>
    <sheet name="Total" sheetId="4" r:id="rId1"/>
    <sheet name="BOM" sheetId="9" r:id="rId2"/>
  </sheets>
  <definedNames>
    <definedName name="_xlnm._FilterDatabase" localSheetId="1" hidden="1">BOM!$A$1:$N$29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<sst xmlns="http://schemas.openxmlformats.org/spreadsheetml/2006/main" count="274" uniqueCount="191">
  <si>
    <t>Quotation</t>
  </si>
  <si>
    <r>
      <rPr>
        <b/>
        <sz val="11"/>
        <rFont val="等线"/>
        <charset val="134"/>
      </rPr>
      <t xml:space="preserve">Vendor: </t>
    </r>
    <r>
      <rPr>
        <sz val="11"/>
        <rFont val="等线"/>
        <charset val="134"/>
      </rPr>
      <t xml:space="preserve"> PCBWAVE</t>
    </r>
  </si>
  <si>
    <t>Customer:</t>
  </si>
  <si>
    <t>Customer Address</t>
  </si>
  <si>
    <t>PCBWAVE Address</t>
  </si>
  <si>
    <r>
      <rPr>
        <b/>
        <sz val="11"/>
        <rFont val="等线"/>
        <charset val="134"/>
      </rPr>
      <t>Contact Person:</t>
    </r>
    <r>
      <rPr>
        <sz val="11"/>
        <rFont val="等线"/>
        <charset val="134"/>
      </rPr>
      <t xml:space="preserve"> Wahi</t>
    </r>
  </si>
  <si>
    <t>Contact Person:</t>
  </si>
  <si>
    <t>Russia</t>
  </si>
  <si>
    <t>B Building，No.4, Industry Centre Road，Jiangbian Community, Baoan, Shenzhen, Guangdong province, China, 518105.</t>
  </si>
  <si>
    <r>
      <rPr>
        <b/>
        <sz val="11"/>
        <rFont val="等线"/>
        <charset val="134"/>
      </rPr>
      <t>Tel:</t>
    </r>
    <r>
      <rPr>
        <sz val="11"/>
        <rFont val="等线"/>
        <charset val="134"/>
      </rPr>
      <t xml:space="preserve">  +86 755-23204330  </t>
    </r>
  </si>
  <si>
    <t>Tel:</t>
  </si>
  <si>
    <r>
      <rPr>
        <b/>
        <sz val="11"/>
        <rFont val="等线"/>
        <charset val="134"/>
      </rPr>
      <t>Email:</t>
    </r>
    <r>
      <rPr>
        <sz val="11"/>
        <rFont val="等线"/>
        <charset val="134"/>
      </rPr>
      <t xml:space="preserve"> service1@pcbwave.com</t>
    </r>
  </si>
  <si>
    <t>Email:</t>
  </si>
  <si>
    <t>Payment Method:  Sberbank/Bancard/paypal/Alipay</t>
  </si>
  <si>
    <t>Date: 2026/8/25</t>
  </si>
  <si>
    <t>If there is any problem, please feel free to contact with me.</t>
  </si>
  <si>
    <t>For PCB Fabricate</t>
  </si>
  <si>
    <t>Project Name</t>
  </si>
  <si>
    <t>Layers</t>
  </si>
  <si>
    <t>Dimension/mm</t>
  </si>
  <si>
    <t>Thickness/mm</t>
  </si>
  <si>
    <t>Surface Finished</t>
  </si>
  <si>
    <t>Solder Mask</t>
  </si>
  <si>
    <t>Silkscreen</t>
  </si>
  <si>
    <t>Copper Weight</t>
  </si>
  <si>
    <t>Different Design</t>
  </si>
  <si>
    <t>Qty.</t>
  </si>
  <si>
    <t>Quotation/$</t>
  </si>
  <si>
    <t>Remark</t>
  </si>
  <si>
    <t>ESP32-E220-Carrier-Rev1</t>
  </si>
  <si>
    <t>145*90mm</t>
  </si>
  <si>
    <t>1.6mm</t>
  </si>
  <si>
    <t>HASL LEAD FREE</t>
  </si>
  <si>
    <t>black</t>
  </si>
  <si>
    <t>White</t>
  </si>
  <si>
    <t>1oz</t>
  </si>
  <si>
    <t>FR4 material</t>
  </si>
  <si>
    <t>Stencil</t>
  </si>
  <si>
    <t>for soldering</t>
  </si>
  <si>
    <t>Total:</t>
  </si>
  <si>
    <t>For PCB Assembly</t>
  </si>
  <si>
    <t>Specifications</t>
  </si>
  <si>
    <t>Qty of boards</t>
  </si>
  <si>
    <t>Unique Parts</t>
  </si>
  <si>
    <t>Number of Components</t>
  </si>
  <si>
    <r>
      <rPr>
        <sz val="12"/>
        <color theme="1"/>
        <rFont val="Times New Roman"/>
        <charset val="134"/>
      </rPr>
      <t>​</t>
    </r>
    <r>
      <rPr>
        <sz val="10.5"/>
        <color rgb="FF000000"/>
        <rFont val="Arial"/>
        <charset val="134"/>
      </rPr>
      <t>​</t>
    </r>
    <r>
      <rPr>
        <sz val="12"/>
        <color theme="1"/>
        <rFont val="Times New Roman"/>
        <charset val="134"/>
      </rPr>
      <t>​</t>
    </r>
  </si>
  <si>
    <t>SMD pads</t>
  </si>
  <si>
    <t>THT pads</t>
  </si>
  <si>
    <t>Components</t>
  </si>
  <si>
    <t>Unit Price</t>
  </si>
  <si>
    <t>for 4pcs</t>
  </si>
  <si>
    <t>Flashing&amp;Testing</t>
  </si>
  <si>
    <t>Price</t>
  </si>
  <si>
    <t>no testing</t>
  </si>
  <si>
    <t>Shipping</t>
  </si>
  <si>
    <t>Products</t>
  </si>
  <si>
    <t>Shipping Method</t>
  </si>
  <si>
    <t>Weight/kg</t>
  </si>
  <si>
    <t>PCBAs</t>
  </si>
  <si>
    <t>Commercial Express-TJ</t>
  </si>
  <si>
    <t>0.8kg</t>
  </si>
  <si>
    <t>1-2 months</t>
  </si>
  <si>
    <t>Total</t>
  </si>
  <si>
    <t>for 5pcs PCB but only solder 4pcs</t>
  </si>
  <si>
    <t>Part#</t>
  </si>
  <si>
    <t>Designator</t>
  </si>
  <si>
    <t>Value</t>
  </si>
  <si>
    <t>Description</t>
  </si>
  <si>
    <t>Package</t>
  </si>
  <si>
    <t>Notes</t>
  </si>
  <si>
    <t>Quantity</t>
  </si>
  <si>
    <t>MPN</t>
  </si>
  <si>
    <t>SMT</t>
  </si>
  <si>
    <t>THT</t>
  </si>
  <si>
    <t>Original</t>
  </si>
  <si>
    <t>Unit Price (4pcs)</t>
  </si>
  <si>
    <t>Total Price (4pcs)</t>
  </si>
  <si>
    <t>PCBWAVE NOTE</t>
  </si>
  <si>
    <t>R1</t>
  </si>
  <si>
    <t>100k 1%</t>
  </si>
  <si>
    <t>100 kΩ resistor, 1%, 0603</t>
  </si>
  <si>
    <t>0603 / 1608</t>
  </si>
  <si>
    <t>Any reputable 0603 100k 1% equivalent</t>
  </si>
  <si>
    <t>APPROVED_GENERIC</t>
  </si>
  <si>
    <t>N</t>
  </si>
  <si>
    <t>R8,R9</t>
  </si>
  <si>
    <t>10k 1%</t>
  </si>
  <si>
    <t>10 kΩ resistor, 1%, 0603</t>
  </si>
  <si>
    <t>Any reputable 0603 10k 1% equivalent</t>
  </si>
  <si>
    <t>F1</t>
  </si>
  <si>
    <t>1812L200/16</t>
  </si>
  <si>
    <t>Resettable PPTC fuse</t>
  </si>
  <si>
    <t>1812 / 4532</t>
  </si>
  <si>
    <t>Littelfuse</t>
  </si>
  <si>
    <t>Y</t>
  </si>
  <si>
    <t>we quoted 1812L200/16DR, pls confirm</t>
  </si>
  <si>
    <t>R2</t>
  </si>
  <si>
    <t>1M 1%</t>
  </si>
  <si>
    <t>1 MΩ resistor, 1%, 0603</t>
  </si>
  <si>
    <t>Any reputable 0603 1M 1% equivalent</t>
  </si>
  <si>
    <t>J4,J8</t>
  </si>
  <si>
    <t>B2B-XH-A</t>
  </si>
  <si>
    <t>JST XH vertical 2-pin board header</t>
  </si>
  <si>
    <t>JST XH 1x02 2.50mm THT</t>
  </si>
  <si>
    <t>JST</t>
  </si>
  <si>
    <t>we quoted B2B-XH-A(LF)(SN), pls ocnfirm</t>
  </si>
  <si>
    <t>Q1</t>
  </si>
  <si>
    <t>DMP3130LQ-7</t>
  </si>
  <si>
    <t>P-channel MOSFET</t>
  </si>
  <si>
    <t>SOT-23</t>
  </si>
  <si>
    <t>Diodes Incorporated</t>
  </si>
  <si>
    <t>J3</t>
  </si>
  <si>
    <t>E220 socket</t>
  </si>
  <si>
    <t>Female carrier socket for E220 module</t>
  </si>
  <si>
    <t>1x07 2.54mm THT</t>
  </si>
  <si>
    <t>Samtec socket only; DO NOT install E220 module</t>
  </si>
  <si>
    <t>SSW-107-02-G-S</t>
  </si>
  <si>
    <t>C4</t>
  </si>
  <si>
    <t>3.3nF</t>
  </si>
  <si>
    <t>MLCC capacitor</t>
  </si>
  <si>
    <t>Murata</t>
  </si>
  <si>
    <t>GRM1885C1H332JA01D</t>
  </si>
  <si>
    <t>C5</t>
  </si>
  <si>
    <t>10uF</t>
  </si>
  <si>
    <t>GRM188R61A106MAALD</t>
  </si>
  <si>
    <t>C8</t>
  </si>
  <si>
    <t>100nF</t>
  </si>
  <si>
    <t>GRM188R71C104KA01D</t>
  </si>
  <si>
    <t>C2,C6,C7</t>
  </si>
  <si>
    <t>C3</t>
  </si>
  <si>
    <t>22uF</t>
  </si>
  <si>
    <t>0805 / 2012</t>
  </si>
  <si>
    <t>GRM21BR61A226ME44L</t>
  </si>
  <si>
    <t>C9,C10</t>
  </si>
  <si>
    <t>GRM21BR61E106KA73L</t>
  </si>
  <si>
    <t>C1</t>
  </si>
  <si>
    <t>R3</t>
  </si>
  <si>
    <t>Resistor, 1%</t>
  </si>
  <si>
    <t>Yageo</t>
  </si>
  <si>
    <t>RC0603FR-0710KL</t>
  </si>
  <si>
    <t>R4</t>
  </si>
  <si>
    <t>3.3k 1%</t>
  </si>
  <si>
    <t>RC0603FR-073K3L</t>
  </si>
  <si>
    <t>D3</t>
  </si>
  <si>
    <t>SMBJ10CA</t>
  </si>
  <si>
    <t>Bidirectional TVS diode</t>
  </si>
  <si>
    <t>SMB / DO-214AA</t>
  </si>
  <si>
    <t>U3</t>
  </si>
  <si>
    <t>SN74AHCT1G125DBVR</t>
  </si>
  <si>
    <t>Single bus buffer / level shifter</t>
  </si>
  <si>
    <t>SOT-23-5 / DBV</t>
  </si>
  <si>
    <t>Texas Instruments</t>
  </si>
  <si>
    <t>J5</t>
  </si>
  <si>
    <t>OLED socket</t>
  </si>
  <si>
    <t>Female carrier socket for OLED module</t>
  </si>
  <si>
    <t>1x04 2.54mm THT</t>
  </si>
  <si>
    <t>Samtec socket only; DO NOT install OLED module</t>
  </si>
  <si>
    <t>SSW-104-02-G-S</t>
  </si>
  <si>
    <t>J1</t>
  </si>
  <si>
    <t>ESP32 left socket</t>
  </si>
  <si>
    <t>Female carrier socket for ESP32 DevKit</t>
  </si>
  <si>
    <t>1x15 2.54mm THT</t>
  </si>
  <si>
    <t>Samtec socket only; DO NOT install ESP32 module</t>
  </si>
  <si>
    <t>SSW-115-02-G-S</t>
  </si>
  <si>
    <t>J2</t>
  </si>
  <si>
    <t>ESP32 right socket</t>
  </si>
  <si>
    <t>U4</t>
  </si>
  <si>
    <t>TLV1117LV33DCYR</t>
  </si>
  <si>
    <t>3.3 V linear regulator</t>
  </si>
  <si>
    <t>SOT-223 / DCY</t>
  </si>
  <si>
    <t>U1</t>
  </si>
  <si>
    <t>TPS62133RGT</t>
  </si>
  <si>
    <t>3 A step-down converter</t>
  </si>
  <si>
    <t>QFN-16 + EP / RGT</t>
  </si>
  <si>
    <t>we quoted TPS62133RGTR, pls confirm</t>
  </si>
  <si>
    <t>JP1</t>
  </si>
  <si>
    <t>2-pin header</t>
  </si>
  <si>
    <t>DEVKIT_PWR jumper header</t>
  </si>
  <si>
    <t>1x02 2.54mm THT</t>
  </si>
  <si>
    <t>Samtec; shunt SNT-100-BK-G supplied separately/manual</t>
  </si>
  <si>
    <t>TSW-102-07-G-S</t>
  </si>
  <si>
    <t>L1</t>
  </si>
  <si>
    <t>2.2uH</t>
  </si>
  <si>
    <t>Shielded power inductor</t>
  </si>
  <si>
    <t>XFL4020</t>
  </si>
  <si>
    <t>Coilcraft</t>
  </si>
  <si>
    <t>XFL4020-222MEB</t>
  </si>
  <si>
    <t>changed to XGL4020-222MEC, pls confirm</t>
  </si>
  <si>
    <t>JP1 removable shunt</t>
  </si>
  <si>
    <r>
      <rPr>
        <sz val="11"/>
        <color theme="1"/>
        <rFont val="等线"/>
        <charset val="134"/>
      </rPr>
      <t>SNT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等线"/>
        <charset val="134"/>
      </rPr>
      <t>100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等线"/>
        <charset val="134"/>
      </rPr>
      <t>BK</t>
    </r>
    <r>
      <rPr>
        <sz val="11"/>
        <color theme="1"/>
        <rFont val="Times New Roman"/>
        <charset val="134"/>
      </rPr>
      <t>‑</t>
    </r>
    <r>
      <rPr>
        <sz val="11"/>
        <color theme="1"/>
        <rFont val="等线"/>
        <charset val="134"/>
      </rPr>
      <t>G</t>
    </r>
  </si>
  <si>
    <t>do need to solder on PCB, plugged into JP1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</si>
</sst>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0_);[Red]\(0\)"/>
    <numFmt numFmtId="178" formatCode="[$-409]d/mmm;@"/>
    <numFmt numFmtId="179" formatCode="0.0_);[Red]\(0.0\)"/>
    <numFmt numFmtId="180" formatCode="0.000_);[Red]\(0.000\)"/>
    <numFmt numFmtId="181" formatCode="0.00_);[Red]\(0.00\)"/>
    <numFmt numFmtId="182" formatCode="0.00_ ;[Red]\-0.00\ "/>
    <numFmt numFmtId="183" formatCode="\$#,##0.00;[Red]\$#,##0.00"/>
    <numFmt numFmtId="184" formatCode="&quot;US$&quot;#,##0.00;[Red]&quot;US$&quot;#,##0.00"/>
  </numFmts>
  <fonts count="39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</font>
    <font>
      <sz val="11"/>
      <color theme="1"/>
      <name val="等线"/>
      <charset val="134"/>
    </font>
    <font>
      <sz val="12"/>
      <color rgb="FFFF0000"/>
      <name val="等线"/>
      <charset val="134"/>
    </font>
    <font>
      <sz val="12"/>
      <color theme="1"/>
      <name val="等线"/>
      <charset val="134"/>
    </font>
    <font>
      <b/>
      <sz val="11"/>
      <color theme="1"/>
      <name val="等线"/>
      <charset val="134"/>
    </font>
    <font>
      <sz val="12"/>
      <name val="等线"/>
      <charset val="134"/>
    </font>
    <font>
      <sz val="11"/>
      <name val="等线"/>
      <charset val="134"/>
    </font>
    <font>
      <b/>
      <sz val="11"/>
      <color rgb="FFFF0000"/>
      <name val="等线"/>
      <charset val="134"/>
    </font>
    <font>
      <sz val="11"/>
      <color rgb="FFFF0000"/>
      <name val="等线"/>
      <charset val="134"/>
    </font>
    <font>
      <b/>
      <sz val="24"/>
      <color theme="1"/>
      <name val="等线"/>
      <charset val="134"/>
    </font>
    <font>
      <b/>
      <sz val="11"/>
      <name val="等线"/>
      <charset val="134"/>
    </font>
    <font>
      <u/>
      <sz val="11"/>
      <color indexed="12"/>
      <name val="等线"/>
      <charset val="134"/>
    </font>
    <font>
      <sz val="11"/>
      <color theme="1"/>
      <name val="Arial"/>
      <charset val="134"/>
    </font>
    <font>
      <sz val="11"/>
      <color rgb="FFFF0000"/>
      <name val="Arial"/>
      <charset val="134"/>
    </font>
    <font>
      <b/>
      <sz val="18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0.5"/>
      <color rgb="FF000000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6" fillId="6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26" fillId="8" borderId="13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0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176" fontId="2" fillId="2" borderId="0" xfId="0" applyNumberFormat="1" applyFont="1" applyFill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left"/>
    </xf>
    <xf numFmtId="176" fontId="5" fillId="2" borderId="1" xfId="0" applyNumberFormat="1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6" fillId="0" borderId="1" xfId="6" applyFont="1" applyFill="1" applyBorder="1" applyAlignment="1">
      <alignment horizontal="left"/>
    </xf>
    <xf numFmtId="176" fontId="2" fillId="2" borderId="1" xfId="0" applyNumberFormat="1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8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176" fontId="9" fillId="2" borderId="0" xfId="0" applyNumberFormat="1" applyFont="1" applyFill="1" applyAlignment="1">
      <alignment horizontal="left" wrapText="1"/>
    </xf>
    <xf numFmtId="49" fontId="8" fillId="2" borderId="0" xfId="0" applyNumberFormat="1" applyFont="1" applyFill="1" applyAlignment="1">
      <alignment horizontal="left"/>
    </xf>
    <xf numFmtId="177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Alignment="1"/>
    <xf numFmtId="177" fontId="5" fillId="0" borderId="0" xfId="0" applyNumberFormat="1" applyFont="1" applyFill="1" applyAlignment="1">
      <alignment vertical="center"/>
    </xf>
    <xf numFmtId="0" fontId="2" fillId="0" borderId="0" xfId="0" applyFont="1"/>
    <xf numFmtId="177" fontId="2" fillId="0" borderId="0" xfId="0" applyNumberFormat="1" applyFont="1" applyFill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vertical="center"/>
    </xf>
    <xf numFmtId="177" fontId="2" fillId="0" borderId="0" xfId="0" applyNumberFormat="1" applyFont="1" applyFill="1" applyBorder="1" applyAlignment="1">
      <alignment vertical="center" wrapText="1"/>
    </xf>
    <xf numFmtId="177" fontId="7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  <xf numFmtId="177" fontId="2" fillId="0" borderId="0" xfId="0" applyNumberFormat="1" applyFont="1" applyFill="1" applyBorder="1" applyAlignment="1">
      <alignment horizontal="left" vertical="center" wrapText="1"/>
    </xf>
    <xf numFmtId="177" fontId="7" fillId="0" borderId="0" xfId="0" applyNumberFormat="1" applyFont="1" applyFill="1" applyBorder="1" applyAlignment="1">
      <alignment horizontal="center" vertical="center" wrapText="1"/>
    </xf>
    <xf numFmtId="177" fontId="12" fillId="0" borderId="0" xfId="6" applyNumberFormat="1" applyFont="1" applyBorder="1" applyAlignment="1" applyProtection="1">
      <alignment horizontal="center" vertical="center"/>
    </xf>
    <xf numFmtId="178" fontId="11" fillId="0" borderId="0" xfId="0" applyNumberFormat="1" applyFont="1" applyFill="1" applyBorder="1" applyAlignment="1">
      <alignment horizontal="left" vertical="center"/>
    </xf>
    <xf numFmtId="178" fontId="7" fillId="0" borderId="0" xfId="0" applyNumberFormat="1" applyFont="1" applyFill="1" applyBorder="1" applyAlignment="1">
      <alignment vertical="center"/>
    </xf>
    <xf numFmtId="177" fontId="7" fillId="0" borderId="0" xfId="0" applyNumberFormat="1" applyFont="1" applyFill="1" applyBorder="1" applyAlignment="1">
      <alignment horizontal="left" vertical="center"/>
    </xf>
    <xf numFmtId="177" fontId="7" fillId="0" borderId="0" xfId="6" applyNumberFormat="1" applyFont="1" applyBorder="1" applyAlignment="1" applyProtection="1">
      <alignment horizontal="center" vertical="center"/>
    </xf>
    <xf numFmtId="177" fontId="2" fillId="0" borderId="0" xfId="0" applyNumberFormat="1" applyFont="1" applyFill="1" applyBorder="1" applyAlignment="1">
      <alignment horizontal="left" vertical="center"/>
    </xf>
    <xf numFmtId="177" fontId="5" fillId="4" borderId="0" xfId="0" applyNumberFormat="1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/>
    </xf>
    <xf numFmtId="177" fontId="2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 applyAlignment="1">
      <alignment horizontal="center" vertical="center"/>
    </xf>
    <xf numFmtId="179" fontId="13" fillId="0" borderId="1" xfId="0" applyNumberFormat="1" applyFont="1" applyFill="1" applyBorder="1" applyAlignment="1">
      <alignment horizontal="center" vertical="center"/>
    </xf>
    <xf numFmtId="177" fontId="14" fillId="0" borderId="2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26" fontId="2" fillId="2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26" fontId="2" fillId="0" borderId="1" xfId="0" applyNumberFormat="1" applyFont="1" applyFill="1" applyBorder="1" applyAlignment="1">
      <alignment horizontal="center" vertical="center"/>
    </xf>
    <xf numFmtId="177" fontId="11" fillId="2" borderId="1" xfId="0" applyNumberFormat="1" applyFont="1" applyFill="1" applyBorder="1" applyAlignment="1">
      <alignment horizontal="center" vertical="center"/>
    </xf>
    <xf numFmtId="26" fontId="5" fillId="0" borderId="1" xfId="0" applyNumberFormat="1" applyFont="1" applyFill="1" applyBorder="1" applyAlignment="1">
      <alignment horizontal="center" vertical="center"/>
    </xf>
    <xf numFmtId="177" fontId="8" fillId="0" borderId="0" xfId="0" applyNumberFormat="1" applyFont="1" applyFill="1" applyBorder="1" applyAlignment="1">
      <alignment horizontal="center" vertical="center"/>
    </xf>
    <xf numFmtId="177" fontId="5" fillId="4" borderId="3" xfId="0" applyNumberFormat="1" applyFont="1" applyFill="1" applyBorder="1" applyAlignment="1">
      <alignment horizontal="left"/>
    </xf>
    <xf numFmtId="177" fontId="5" fillId="4" borderId="4" xfId="0" applyNumberFormat="1" applyFont="1" applyFill="1" applyBorder="1" applyAlignment="1">
      <alignment horizontal="left"/>
    </xf>
    <xf numFmtId="177" fontId="2" fillId="0" borderId="0" xfId="0" applyNumberFormat="1" applyFont="1" applyFill="1" applyBorder="1" applyAlignment="1">
      <alignment horizontal="center"/>
    </xf>
    <xf numFmtId="177" fontId="2" fillId="0" borderId="0" xfId="0" applyNumberFormat="1" applyFont="1" applyFill="1" applyAlignment="1">
      <alignment horizontal="center"/>
    </xf>
    <xf numFmtId="177" fontId="2" fillId="5" borderId="5" xfId="0" applyNumberFormat="1" applyFont="1" applyFill="1" applyBorder="1" applyAlignment="1">
      <alignment horizontal="center"/>
    </xf>
    <xf numFmtId="177" fontId="2" fillId="5" borderId="6" xfId="0" applyNumberFormat="1" applyFont="1" applyFill="1" applyBorder="1" applyAlignment="1">
      <alignment horizontal="center"/>
    </xf>
    <xf numFmtId="0" fontId="4" fillId="0" borderId="0" xfId="0" applyFont="1"/>
    <xf numFmtId="177" fontId="2" fillId="0" borderId="1" xfId="0" applyNumberFormat="1" applyFont="1" applyFill="1" applyBorder="1" applyAlignment="1">
      <alignment horizontal="left" vertical="center"/>
    </xf>
    <xf numFmtId="177" fontId="7" fillId="0" borderId="1" xfId="0" applyNumberFormat="1" applyFont="1" applyFill="1" applyBorder="1" applyAlignment="1">
      <alignment horizontal="center" vertical="center"/>
    </xf>
    <xf numFmtId="26" fontId="7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11" fillId="2" borderId="7" xfId="0" applyNumberFormat="1" applyFont="1" applyFill="1" applyBorder="1" applyAlignment="1">
      <alignment horizontal="center" vertical="center"/>
    </xf>
    <xf numFmtId="26" fontId="5" fillId="0" borderId="7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 applyAlignment="1">
      <alignment vertical="center"/>
    </xf>
    <xf numFmtId="181" fontId="2" fillId="0" borderId="0" xfId="0" applyNumberFormat="1" applyFont="1" applyFill="1" applyBorder="1" applyAlignment="1">
      <alignment horizontal="left" vertical="center"/>
    </xf>
    <xf numFmtId="177" fontId="2" fillId="4" borderId="8" xfId="0" applyNumberFormat="1" applyFont="1" applyFill="1" applyBorder="1" applyAlignment="1">
      <alignment horizontal="left"/>
    </xf>
    <xf numFmtId="177" fontId="2" fillId="5" borderId="1" xfId="0" applyNumberFormat="1" applyFont="1" applyFill="1" applyBorder="1" applyAlignment="1"/>
    <xf numFmtId="177" fontId="2" fillId="5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/>
    </xf>
    <xf numFmtId="26" fontId="8" fillId="0" borderId="1" xfId="0" applyNumberFormat="1" applyFont="1" applyFill="1" applyBorder="1" applyAlignment="1">
      <alignment horizontal="center" vertical="center"/>
    </xf>
    <xf numFmtId="177" fontId="9" fillId="0" borderId="5" xfId="0" applyNumberFormat="1" applyFont="1" applyFill="1" applyBorder="1" applyAlignment="1">
      <alignment horizontal="left" vertical="center"/>
    </xf>
    <xf numFmtId="177" fontId="9" fillId="0" borderId="6" xfId="0" applyNumberFormat="1" applyFont="1" applyFill="1" applyBorder="1" applyAlignment="1">
      <alignment horizontal="left" vertical="center"/>
    </xf>
    <xf numFmtId="177" fontId="11" fillId="0" borderId="0" xfId="0" applyNumberFormat="1" applyFont="1" applyFill="1" applyBorder="1" applyAlignment="1">
      <alignment horizontal="center"/>
    </xf>
    <xf numFmtId="26" fontId="11" fillId="0" borderId="0" xfId="0" applyNumberFormat="1" applyFont="1" applyFill="1" applyBorder="1" applyAlignment="1">
      <alignment horizontal="center" vertical="center"/>
    </xf>
    <xf numFmtId="26" fontId="11" fillId="0" borderId="1" xfId="0" applyNumberFormat="1" applyFont="1" applyFill="1" applyBorder="1" applyAlignment="1">
      <alignment horizontal="center" vertical="center"/>
    </xf>
    <xf numFmtId="177" fontId="7" fillId="0" borderId="5" xfId="0" applyNumberFormat="1" applyFont="1" applyFill="1" applyBorder="1" applyAlignment="1">
      <alignment horizontal="left" vertical="center"/>
    </xf>
    <xf numFmtId="177" fontId="7" fillId="0" borderId="6" xfId="0" applyNumberFormat="1" applyFont="1" applyFill="1" applyBorder="1" applyAlignment="1">
      <alignment horizontal="left" vertical="center"/>
    </xf>
    <xf numFmtId="177" fontId="2" fillId="0" borderId="0" xfId="0" applyNumberFormat="1" applyFont="1" applyFill="1" applyBorder="1" applyAlignment="1">
      <alignment horizontal="left"/>
    </xf>
    <xf numFmtId="177" fontId="2" fillId="4" borderId="3" xfId="0" applyNumberFormat="1" applyFont="1" applyFill="1" applyBorder="1" applyAlignment="1">
      <alignment horizontal="left"/>
    </xf>
    <xf numFmtId="177" fontId="2" fillId="4" borderId="4" xfId="0" applyNumberFormat="1" applyFont="1" applyFill="1" applyBorder="1" applyAlignment="1">
      <alignment horizontal="left"/>
    </xf>
    <xf numFmtId="26" fontId="2" fillId="0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 wrapText="1"/>
    </xf>
    <xf numFmtId="181" fontId="8" fillId="0" borderId="0" xfId="0" applyNumberFormat="1" applyFont="1" applyFill="1" applyAlignment="1">
      <alignment horizontal="center" vertical="center"/>
    </xf>
    <xf numFmtId="183" fontId="8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horizontal="right" vertical="center"/>
    </xf>
    <xf numFmtId="181" fontId="8" fillId="0" borderId="0" xfId="0" applyNumberFormat="1" applyFont="1" applyFill="1" applyBorder="1" applyAlignment="1">
      <alignment horizontal="center" vertical="center"/>
    </xf>
    <xf numFmtId="183" fontId="8" fillId="0" borderId="0" xfId="0" applyNumberFormat="1" applyFont="1" applyFill="1" applyBorder="1" applyAlignment="1">
      <alignment vertical="center"/>
    </xf>
    <xf numFmtId="181" fontId="15" fillId="2" borderId="1" xfId="0" applyNumberFormat="1" applyFont="1" applyFill="1" applyBorder="1" applyAlignment="1">
      <alignment horizontal="center" vertical="center"/>
    </xf>
    <xf numFmtId="184" fontId="8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19</xdr:row>
      <xdr:rowOff>0</xdr:rowOff>
    </xdr:from>
    <xdr:to>
      <xdr:col>8</xdr:col>
      <xdr:colOff>142875</xdr:colOff>
      <xdr:row>19</xdr:row>
      <xdr:rowOff>142875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77575" y="4257675"/>
          <a:ext cx="142875" cy="142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38735</xdr:colOff>
      <xdr:row>0</xdr:row>
      <xdr:rowOff>57785</xdr:rowOff>
    </xdr:from>
    <xdr:to>
      <xdr:col>1</xdr:col>
      <xdr:colOff>114935</xdr:colOff>
      <xdr:row>1</xdr:row>
      <xdr:rowOff>153035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735" y="57785"/>
          <a:ext cx="2343150" cy="533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885825</xdr:colOff>
      <xdr:row>16</xdr:row>
      <xdr:rowOff>152400</xdr:rowOff>
    </xdr:from>
    <xdr:to>
      <xdr:col>11</xdr:col>
      <xdr:colOff>342900</xdr:colOff>
      <xdr:row>30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868025" y="3829050"/>
          <a:ext cx="4191000" cy="2667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tabSelected="1" topLeftCell="A2" workbookViewId="0">
      <selection activeCell="J38" sqref="J38"/>
    </sheetView>
  </sheetViews>
  <sheetFormatPr defaultColWidth="9" defaultRowHeight="14.25"/>
  <cols>
    <col min="1" max="1" width="29.75" style="36" customWidth="1"/>
    <col min="2" max="2" width="20.75" style="36" customWidth="1"/>
    <col min="3" max="3" width="16" style="36" customWidth="1"/>
    <col min="4" max="4" width="16.75" style="36" customWidth="1"/>
    <col min="5" max="5" width="17.5" style="36" customWidth="1"/>
    <col min="6" max="7" width="15.125" style="36" customWidth="1"/>
    <col min="8" max="9" width="14.375" style="36" customWidth="1"/>
    <col min="10" max="10" width="18.25" style="36" customWidth="1"/>
    <col min="11" max="11" width="15.125" style="36" customWidth="1"/>
    <col min="12" max="12" width="20.375" style="31" customWidth="1"/>
    <col min="13" max="16384" width="9" style="31"/>
  </cols>
  <sheetData>
    <row r="1" s="31" customFormat="1" ht="34.5" customHeight="1" spans="1:12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="31" customFormat="1" ht="15" customHeight="1" spans="1:12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="31" customFormat="1" ht="21" customHeight="1" spans="1:12">
      <c r="A3" s="39" t="s">
        <v>1</v>
      </c>
      <c r="B3" s="40"/>
      <c r="C3" s="41" t="s">
        <v>2</v>
      </c>
      <c r="D3" s="36"/>
      <c r="E3" s="39" t="s">
        <v>3</v>
      </c>
      <c r="F3" s="39"/>
      <c r="G3" s="39" t="s">
        <v>4</v>
      </c>
      <c r="H3" s="39"/>
      <c r="I3" s="39"/>
      <c r="J3" s="42"/>
      <c r="K3" s="36"/>
    </row>
    <row r="4" s="31" customFormat="1" ht="21" customHeight="1" spans="1:12">
      <c r="A4" s="39" t="s">
        <v>5</v>
      </c>
      <c r="B4" s="40"/>
      <c r="C4" s="41" t="s">
        <v>6</v>
      </c>
      <c r="D4" s="36"/>
      <c r="E4" s="43" t="s">
        <v>7</v>
      </c>
      <c r="F4" s="43"/>
      <c r="G4" s="44" t="s">
        <v>8</v>
      </c>
      <c r="H4" s="44"/>
      <c r="I4" s="45"/>
      <c r="J4" s="42"/>
      <c r="K4" s="36"/>
    </row>
    <row r="5" s="31" customFormat="1" ht="21" customHeight="1" spans="1:12">
      <c r="A5" s="39" t="s">
        <v>9</v>
      </c>
      <c r="B5" s="46"/>
      <c r="C5" s="41" t="s">
        <v>10</v>
      </c>
      <c r="D5" s="36"/>
      <c r="E5" s="43"/>
      <c r="F5" s="43"/>
      <c r="G5" s="44"/>
      <c r="H5" s="44"/>
      <c r="I5" s="45"/>
      <c r="J5" s="42"/>
      <c r="K5" s="36"/>
    </row>
    <row r="6" s="31" customFormat="1" ht="21" customHeight="1" spans="1:12">
      <c r="A6" s="39" t="s">
        <v>11</v>
      </c>
      <c r="B6" s="47"/>
      <c r="C6" s="41" t="s">
        <v>12</v>
      </c>
      <c r="D6" s="36"/>
      <c r="E6" s="43"/>
      <c r="F6" s="43"/>
      <c r="G6" s="44"/>
      <c r="H6" s="44"/>
      <c r="I6" s="45"/>
      <c r="J6" s="42"/>
      <c r="K6" s="36"/>
    </row>
    <row r="7" s="31" customFormat="1" ht="21" customHeight="1" spans="1:12">
      <c r="A7" s="39" t="s">
        <v>13</v>
      </c>
      <c r="B7" s="39"/>
      <c r="C7" s="48" t="s">
        <v>14</v>
      </c>
      <c r="D7" s="49"/>
      <c r="E7" s="43"/>
      <c r="F7" s="43"/>
      <c r="G7" s="44"/>
      <c r="H7" s="44"/>
      <c r="I7" s="45"/>
      <c r="J7" s="42"/>
      <c r="K7" s="36"/>
    </row>
    <row r="8" s="31" customFormat="1" ht="21" customHeight="1" spans="1:12">
      <c r="A8" s="50" t="s">
        <v>15</v>
      </c>
      <c r="B8" s="51"/>
      <c r="C8" s="40"/>
      <c r="D8" s="42"/>
      <c r="E8" s="43"/>
      <c r="F8" s="43"/>
      <c r="G8" s="44"/>
      <c r="H8" s="44"/>
      <c r="I8" s="45"/>
      <c r="J8" s="42"/>
      <c r="K8" s="36"/>
    </row>
    <row r="9" s="31" customFormat="1" spans="1:12">
      <c r="A9" s="50"/>
      <c r="B9" s="51"/>
      <c r="C9" s="40"/>
      <c r="D9" s="36"/>
      <c r="E9" s="36"/>
      <c r="F9" s="52"/>
      <c r="G9" s="36"/>
      <c r="H9" s="36"/>
      <c r="I9" s="36"/>
      <c r="J9" s="36"/>
      <c r="K9" s="36"/>
    </row>
    <row r="10" s="31" customFormat="1" spans="1:12">
      <c r="A10" s="50"/>
      <c r="B10" s="51"/>
      <c r="C10" s="40"/>
      <c r="D10" s="36"/>
      <c r="E10" s="36"/>
      <c r="F10" s="52"/>
      <c r="G10" s="36"/>
      <c r="H10" s="36"/>
      <c r="I10" s="36"/>
      <c r="J10" s="36"/>
      <c r="K10" s="36"/>
    </row>
    <row r="11" s="31" customFormat="1" spans="1:12">
      <c r="A11" s="53" t="s">
        <v>16</v>
      </c>
      <c r="B11" s="53"/>
      <c r="C11" s="54"/>
      <c r="D11" s="54"/>
      <c r="E11" s="54"/>
      <c r="F11" s="54"/>
      <c r="G11" s="54"/>
      <c r="H11" s="54"/>
      <c r="I11" s="54"/>
      <c r="J11" s="54"/>
      <c r="K11" s="54"/>
      <c r="L11" s="36"/>
    </row>
    <row r="12" s="31" customFormat="1" spans="1:12">
      <c r="A12" s="55" t="s">
        <v>17</v>
      </c>
      <c r="B12" s="55" t="s">
        <v>18</v>
      </c>
      <c r="C12" s="55" t="s">
        <v>19</v>
      </c>
      <c r="D12" s="55" t="s">
        <v>20</v>
      </c>
      <c r="E12" s="55" t="s">
        <v>21</v>
      </c>
      <c r="F12" s="55" t="s">
        <v>22</v>
      </c>
      <c r="G12" s="55" t="s">
        <v>23</v>
      </c>
      <c r="H12" s="55" t="s">
        <v>24</v>
      </c>
      <c r="I12" s="55" t="s">
        <v>25</v>
      </c>
      <c r="J12" s="55" t="s">
        <v>26</v>
      </c>
      <c r="K12" s="55" t="s">
        <v>27</v>
      </c>
      <c r="L12" s="56" t="s">
        <v>28</v>
      </c>
    </row>
    <row r="13" s="31" customFormat="1" spans="1:12">
      <c r="A13" s="57" t="s">
        <v>29</v>
      </c>
      <c r="B13" s="58">
        <v>2</v>
      </c>
      <c r="C13" s="58" t="s">
        <v>30</v>
      </c>
      <c r="D13" s="59" t="s">
        <v>31</v>
      </c>
      <c r="E13" s="58" t="s">
        <v>32</v>
      </c>
      <c r="F13" s="58" t="s">
        <v>33</v>
      </c>
      <c r="G13" s="58" t="s">
        <v>34</v>
      </c>
      <c r="H13" s="60" t="s">
        <v>35</v>
      </c>
      <c r="I13" s="60">
        <v>1</v>
      </c>
      <c r="J13" s="61">
        <v>5</v>
      </c>
      <c r="K13" s="62">
        <v>19.48</v>
      </c>
      <c r="L13" s="63" t="s">
        <v>36</v>
      </c>
    </row>
    <row r="14" s="31" customFormat="1" spans="1:12">
      <c r="A14" s="61" t="s">
        <v>37</v>
      </c>
      <c r="B14" s="61"/>
      <c r="C14" s="61"/>
      <c r="D14" s="64"/>
      <c r="E14" s="61"/>
      <c r="F14" s="61"/>
      <c r="G14" s="61"/>
      <c r="H14" s="61"/>
      <c r="I14" s="61"/>
      <c r="J14" s="61">
        <v>1</v>
      </c>
      <c r="K14" s="65">
        <v>12</v>
      </c>
      <c r="L14" s="63" t="s">
        <v>38</v>
      </c>
    </row>
    <row r="15" s="31" customFormat="1" spans="1:12">
      <c r="A15" s="36"/>
      <c r="B15" s="36"/>
      <c r="C15" s="36"/>
      <c r="D15" s="36"/>
      <c r="E15" s="36"/>
      <c r="F15" s="36"/>
      <c r="G15" s="36"/>
      <c r="H15" s="36"/>
      <c r="I15" s="36"/>
      <c r="J15" s="66" t="s">
        <v>39</v>
      </c>
      <c r="K15" s="67">
        <f>SUM(K13:K14)</f>
        <v>31.48</v>
      </c>
      <c r="L15" s="61"/>
    </row>
    <row r="16" s="32" customFormat="1" spans="1:12">
      <c r="A16" s="54"/>
      <c r="B16" s="54"/>
      <c r="C16" s="54"/>
      <c r="D16" s="54"/>
      <c r="E16" s="54"/>
      <c r="F16" s="54"/>
      <c r="G16" s="68"/>
      <c r="H16" s="54"/>
      <c r="I16" s="54"/>
      <c r="J16" s="54"/>
      <c r="K16" s="54"/>
      <c r="L16" s="31"/>
    </row>
    <row r="17" s="33" customFormat="1" spans="1:11">
      <c r="A17" s="69" t="s">
        <v>40</v>
      </c>
      <c r="B17" s="70"/>
      <c r="C17" s="71"/>
      <c r="D17" s="71"/>
      <c r="E17" s="71"/>
      <c r="F17" s="71"/>
      <c r="G17" s="71"/>
      <c r="H17" s="72"/>
      <c r="I17" s="72"/>
    </row>
    <row r="18" s="33" customFormat="1" ht="15.75" spans="1:11">
      <c r="A18" s="55" t="s">
        <v>17</v>
      </c>
      <c r="B18" s="73" t="s">
        <v>41</v>
      </c>
      <c r="C18" s="74"/>
      <c r="D18" s="55" t="s">
        <v>42</v>
      </c>
      <c r="E18" s="55" t="s">
        <v>0</v>
      </c>
      <c r="F18" s="56" t="s">
        <v>28</v>
      </c>
      <c r="H18" s="75"/>
      <c r="I18" s="75"/>
      <c r="J18" s="75"/>
      <c r="K18" s="75"/>
    </row>
    <row r="19" s="33" customFormat="1" ht="15.75" spans="1:11">
      <c r="A19" s="61" t="str">
        <f>A13</f>
        <v>ESP32-E220-Carrier-Rev1</v>
      </c>
      <c r="B19" s="76" t="s">
        <v>43</v>
      </c>
      <c r="C19" s="77">
        <v>25</v>
      </c>
      <c r="D19" s="61">
        <v>4</v>
      </c>
      <c r="E19" s="78">
        <v>80</v>
      </c>
      <c r="F19" s="79"/>
      <c r="H19" s="75"/>
      <c r="I19" s="75"/>
      <c r="J19" s="75"/>
      <c r="K19" s="75"/>
    </row>
    <row r="20" s="33" customFormat="1" ht="15.75" spans="1:11">
      <c r="A20" s="61"/>
      <c r="B20" s="76" t="s">
        <v>44</v>
      </c>
      <c r="C20" s="77">
        <v>30</v>
      </c>
      <c r="D20" s="61"/>
      <c r="E20" s="78"/>
      <c r="F20" s="79"/>
      <c r="H20" s="75"/>
      <c r="I20" s="75" t="s">
        <v>45</v>
      </c>
      <c r="J20" s="75"/>
      <c r="K20" s="75"/>
    </row>
    <row r="21" s="33" customFormat="1" ht="15.75" spans="1:11">
      <c r="A21" s="61"/>
      <c r="B21" s="76" t="s">
        <v>46</v>
      </c>
      <c r="C21" s="77">
        <v>66</v>
      </c>
      <c r="D21" s="61"/>
      <c r="E21" s="78"/>
      <c r="F21" s="79"/>
      <c r="H21" s="75"/>
      <c r="I21" s="75"/>
      <c r="J21" s="75"/>
      <c r="K21" s="75"/>
    </row>
    <row r="22" s="33" customFormat="1" ht="15.75" spans="1:11">
      <c r="A22" s="61"/>
      <c r="B22" s="76" t="s">
        <v>47</v>
      </c>
      <c r="C22" s="77">
        <v>47</v>
      </c>
      <c r="D22" s="61"/>
      <c r="E22" s="78"/>
      <c r="F22" s="79"/>
      <c r="H22" s="75"/>
      <c r="I22" s="75"/>
      <c r="J22" s="75"/>
      <c r="K22" s="75"/>
    </row>
    <row r="23" s="34" customFormat="1" ht="15.75" spans="1:11">
      <c r="A23" s="38"/>
      <c r="B23" s="38"/>
      <c r="C23" s="38"/>
      <c r="D23" s="80" t="s">
        <v>39</v>
      </c>
      <c r="E23" s="81">
        <f>SUM(E19:E22)</f>
        <v>80</v>
      </c>
      <c r="G23" s="75"/>
      <c r="H23" s="75"/>
      <c r="I23" s="75"/>
      <c r="J23" s="75"/>
    </row>
    <row r="24" s="32" customFormat="1" spans="1:11">
      <c r="A24" s="54"/>
      <c r="B24" s="54"/>
      <c r="C24" s="54"/>
      <c r="D24" s="82"/>
      <c r="E24" s="68"/>
      <c r="F24" s="83"/>
      <c r="G24" s="54"/>
      <c r="H24" s="54"/>
      <c r="I24" s="54"/>
      <c r="K24" s="84"/>
    </row>
    <row r="25" s="32" customFormat="1" ht="15.75" customHeight="1" spans="1:11">
      <c r="A25" s="68"/>
      <c r="B25" s="54"/>
      <c r="C25" s="54"/>
      <c r="D25" s="54"/>
      <c r="E25" s="54"/>
      <c r="F25" s="85"/>
      <c r="G25" s="54"/>
      <c r="H25" s="54"/>
      <c r="I25" s="54"/>
      <c r="J25" s="54"/>
      <c r="K25" s="54"/>
    </row>
    <row r="26" s="31" customFormat="1" spans="1:11">
      <c r="A26" s="86" t="s">
        <v>48</v>
      </c>
      <c r="B26" s="86"/>
      <c r="C26" s="36"/>
      <c r="D26" s="71"/>
      <c r="E26" s="71"/>
      <c r="F26" s="85"/>
      <c r="H26" s="36"/>
      <c r="I26" s="36"/>
      <c r="J26" s="36"/>
      <c r="K26" s="36"/>
    </row>
    <row r="27" s="32" customFormat="1" spans="1:11">
      <c r="A27" s="87" t="s">
        <v>17</v>
      </c>
      <c r="B27" s="87" t="s">
        <v>49</v>
      </c>
      <c r="C27" s="88" t="s">
        <v>28</v>
      </c>
      <c r="D27" s="88"/>
      <c r="E27" s="71"/>
      <c r="F27" s="85"/>
      <c r="G27" s="54"/>
      <c r="H27" s="54"/>
      <c r="I27" s="54"/>
      <c r="J27" s="54"/>
      <c r="K27" s="54"/>
    </row>
    <row r="28" s="32" customFormat="1" spans="1:11">
      <c r="A28" s="89" t="str">
        <f>A13</f>
        <v>ESP32-E220-Carrier-Rev1</v>
      </c>
      <c r="B28" s="78">
        <f>BOM!M28*D19</f>
        <v>109.92</v>
      </c>
      <c r="C28" s="90" t="s">
        <v>50</v>
      </c>
      <c r="D28" s="91"/>
      <c r="E28" s="71"/>
      <c r="F28" s="85"/>
      <c r="G28" s="54"/>
      <c r="H28" s="54"/>
      <c r="I28" s="54"/>
      <c r="J28" s="54"/>
      <c r="K28" s="54"/>
    </row>
    <row r="29" s="32" customFormat="1" spans="1:11">
      <c r="A29" s="92" t="s">
        <v>39</v>
      </c>
      <c r="B29" s="93">
        <f>SUM(B28:B28)</f>
        <v>109.92</v>
      </c>
      <c r="C29" s="94"/>
      <c r="D29" s="95"/>
      <c r="E29" s="71"/>
      <c r="F29" s="85"/>
      <c r="G29" s="54"/>
      <c r="H29" s="54"/>
      <c r="I29" s="54"/>
      <c r="J29" s="54"/>
      <c r="K29" s="54"/>
    </row>
    <row r="30" s="32" customFormat="1" spans="1:11">
      <c r="A30" s="96"/>
      <c r="B30" s="97"/>
      <c r="C30" s="50"/>
      <c r="D30" s="50"/>
      <c r="E30" s="71"/>
      <c r="F30" s="85"/>
      <c r="G30" s="54"/>
      <c r="H30" s="54"/>
      <c r="I30" s="54"/>
      <c r="J30" s="54"/>
      <c r="K30" s="54"/>
    </row>
    <row r="31" s="32" customFormat="1" spans="1:11">
      <c r="A31" s="96"/>
      <c r="B31" s="97"/>
      <c r="C31" s="50"/>
      <c r="D31" s="50"/>
      <c r="E31" s="71"/>
      <c r="F31" s="85"/>
      <c r="G31" s="54"/>
      <c r="H31" s="54"/>
      <c r="I31" s="54"/>
      <c r="J31" s="54"/>
      <c r="K31" s="54"/>
    </row>
    <row r="32" s="31" customFormat="1" spans="1:11">
      <c r="A32" s="86" t="s">
        <v>51</v>
      </c>
      <c r="B32" s="86"/>
      <c r="C32" s="36"/>
      <c r="D32" s="71"/>
      <c r="E32" s="71"/>
      <c r="F32" s="85"/>
      <c r="H32" s="36"/>
      <c r="I32" s="36"/>
      <c r="J32" s="36"/>
      <c r="K32" s="36"/>
    </row>
    <row r="33" s="32" customFormat="1" spans="1:11">
      <c r="A33" s="87" t="s">
        <v>17</v>
      </c>
      <c r="B33" s="87" t="s">
        <v>52</v>
      </c>
      <c r="C33" s="88" t="s">
        <v>28</v>
      </c>
      <c r="D33" s="88"/>
      <c r="E33" s="71"/>
      <c r="F33" s="85"/>
      <c r="G33" s="54"/>
      <c r="H33" s="54"/>
      <c r="I33" s="54"/>
      <c r="J33" s="54"/>
      <c r="K33" s="54"/>
    </row>
    <row r="34" s="32" customFormat="1" spans="1:11">
      <c r="A34" s="89" t="str">
        <f>A13</f>
        <v>ESP32-E220-Carrier-Rev1</v>
      </c>
      <c r="B34" s="98">
        <v>0</v>
      </c>
      <c r="C34" s="90" t="s">
        <v>53</v>
      </c>
      <c r="D34" s="91"/>
      <c r="E34" s="71"/>
      <c r="F34" s="85"/>
      <c r="G34" s="54"/>
      <c r="H34" s="54"/>
      <c r="I34" s="54"/>
      <c r="J34" s="54"/>
      <c r="K34" s="54"/>
    </row>
    <row r="35" s="32" customFormat="1" spans="1:11">
      <c r="A35" s="92" t="s">
        <v>39</v>
      </c>
      <c r="B35" s="98">
        <f>SUM(B34:B34)</f>
        <v>0</v>
      </c>
      <c r="C35" s="99"/>
      <c r="D35" s="100"/>
      <c r="E35" s="71"/>
      <c r="F35" s="85"/>
      <c r="G35" s="54"/>
      <c r="H35" s="54"/>
      <c r="I35" s="54"/>
      <c r="J35" s="54"/>
      <c r="K35" s="54"/>
    </row>
    <row r="36" s="31" customFormat="1" spans="1:11">
      <c r="A36" s="101"/>
      <c r="B36" s="68"/>
      <c r="C36" s="54"/>
      <c r="D36" s="54"/>
      <c r="E36" s="54"/>
      <c r="F36" s="83"/>
      <c r="H36" s="36"/>
      <c r="I36" s="36"/>
      <c r="J36" s="36"/>
      <c r="K36" s="36"/>
    </row>
    <row r="37" s="31" customFormat="1" spans="1:11">
      <c r="A37" s="102" t="s">
        <v>54</v>
      </c>
      <c r="B37" s="103"/>
      <c r="C37" s="36"/>
      <c r="D37" s="71"/>
      <c r="E37" s="71"/>
      <c r="F37" s="85"/>
      <c r="H37" s="36"/>
      <c r="I37" s="36"/>
      <c r="J37" s="36"/>
      <c r="K37" s="36"/>
    </row>
    <row r="38" s="31" customFormat="1" spans="1:11">
      <c r="A38" s="56" t="s">
        <v>55</v>
      </c>
      <c r="B38" s="56" t="s">
        <v>56</v>
      </c>
      <c r="C38" s="56" t="s">
        <v>57</v>
      </c>
      <c r="D38" s="56" t="s">
        <v>0</v>
      </c>
      <c r="E38" s="55" t="s">
        <v>28</v>
      </c>
      <c r="G38" s="36"/>
      <c r="H38" s="36"/>
      <c r="I38" s="36"/>
      <c r="J38" s="36"/>
      <c r="K38" s="36"/>
    </row>
    <row r="39" s="35" customFormat="1" spans="1:11">
      <c r="A39" s="89" t="s">
        <v>58</v>
      </c>
      <c r="B39" s="61" t="s">
        <v>59</v>
      </c>
      <c r="C39" s="64" t="s">
        <v>60</v>
      </c>
      <c r="D39" s="104">
        <v>8.74</v>
      </c>
      <c r="E39" s="105" t="s">
        <v>61</v>
      </c>
      <c r="G39" s="106"/>
      <c r="H39" s="106"/>
      <c r="I39" s="106"/>
      <c r="J39" s="107"/>
      <c r="K39" s="108"/>
    </row>
    <row r="40" s="31" customFormat="1" spans="1:11">
      <c r="A40" s="101"/>
      <c r="B40" s="36"/>
      <c r="C40" s="66" t="s">
        <v>39</v>
      </c>
      <c r="D40" s="98">
        <f>SUM(D39:D39)</f>
        <v>8.74</v>
      </c>
      <c r="E40" s="61"/>
      <c r="F40" s="36"/>
      <c r="G40" s="109"/>
      <c r="H40" s="109"/>
      <c r="I40" s="109"/>
      <c r="J40" s="110"/>
      <c r="K40" s="108"/>
    </row>
    <row r="41" s="31" customFormat="1" ht="38.1" customHeight="1" spans="1:11">
      <c r="A41" s="36"/>
      <c r="B41" s="36"/>
      <c r="C41" s="36"/>
      <c r="D41" s="36"/>
      <c r="E41" s="36"/>
      <c r="F41" s="36"/>
      <c r="G41" s="111" t="s">
        <v>62</v>
      </c>
      <c r="H41" s="111"/>
      <c r="I41" s="112">
        <f>K15+E23+B29+B35+D40</f>
        <v>230.14</v>
      </c>
      <c r="J41" s="113" t="s">
        <v>63</v>
      </c>
    </row>
  </sheetData>
  <mergeCells count="24">
    <mergeCell ref="A1:K1"/>
    <mergeCell ref="E3:F3"/>
    <mergeCell ref="G3:H3"/>
    <mergeCell ref="A7:B7"/>
    <mergeCell ref="A11:B11"/>
    <mergeCell ref="A17:B17"/>
    <mergeCell ref="B18:C18"/>
    <mergeCell ref="A26:B26"/>
    <mergeCell ref="C27:D27"/>
    <mergeCell ref="C28:D28"/>
    <mergeCell ref="C29:D29"/>
    <mergeCell ref="A32:B32"/>
    <mergeCell ref="C33:D33"/>
    <mergeCell ref="C34:D34"/>
    <mergeCell ref="C35:D35"/>
    <mergeCell ref="A37:B37"/>
    <mergeCell ref="G40:H40"/>
    <mergeCell ref="G41:H41"/>
    <mergeCell ref="A19:A22"/>
    <mergeCell ref="D19:D22"/>
    <mergeCell ref="E19:E22"/>
    <mergeCell ref="F19:F22"/>
    <mergeCell ref="E4:F8"/>
    <mergeCell ref="G4:H8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M27" sqref="M27"/>
    </sheetView>
  </sheetViews>
  <sheetFormatPr defaultColWidth="11" defaultRowHeight="15.75"/>
  <cols>
    <col min="1" max="1" width="6" style="2" customWidth="1"/>
    <col min="2" max="2" width="16.5" style="2" customWidth="1"/>
    <col min="3" max="3" width="7.5" style="5" customWidth="1"/>
    <col min="4" max="4" width="10.5" style="5" customWidth="1"/>
    <col min="5" max="5" width="9.25" style="5" customWidth="1"/>
    <col min="6" max="6" width="17.125" style="5" customWidth="1"/>
    <col min="7" max="7" width="8.375" style="2" customWidth="1"/>
    <col min="8" max="8" width="22.375" style="2" customWidth="1"/>
    <col min="9" max="9" width="6.625" style="2" customWidth="1"/>
    <col min="10" max="10" width="6.25" style="2" customWidth="1"/>
    <col min="11" max="11" width="7.75" style="2" customWidth="1"/>
    <col min="12" max="12" width="12.25" style="6" customWidth="1"/>
    <col min="13" max="13" width="12.875" style="6" customWidth="1"/>
    <col min="14" max="14" width="40.25" style="2" customWidth="1"/>
    <col min="15" max="16384" width="11" style="7"/>
  </cols>
  <sheetData>
    <row r="1" s="1" customFormat="1" ht="28.5" spans="1:14">
      <c r="A1" s="8" t="s">
        <v>64</v>
      </c>
      <c r="B1" s="8" t="s">
        <v>65</v>
      </c>
      <c r="C1" s="9" t="s">
        <v>66</v>
      </c>
      <c r="D1" s="9" t="s">
        <v>67</v>
      </c>
      <c r="E1" s="9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10" t="s">
        <v>75</v>
      </c>
      <c r="M1" s="10" t="s">
        <v>76</v>
      </c>
      <c r="N1" s="11" t="s">
        <v>77</v>
      </c>
    </row>
    <row r="2" ht="15" customHeight="1" spans="1:14">
      <c r="A2" s="12">
        <v>1</v>
      </c>
      <c r="B2" s="13" t="s">
        <v>78</v>
      </c>
      <c r="C2" s="13" t="s">
        <v>79</v>
      </c>
      <c r="D2" s="13" t="s">
        <v>80</v>
      </c>
      <c r="E2" s="13" t="s">
        <v>81</v>
      </c>
      <c r="F2" s="14" t="s">
        <v>82</v>
      </c>
      <c r="G2" s="13">
        <v>1</v>
      </c>
      <c r="H2" s="13" t="s">
        <v>83</v>
      </c>
      <c r="I2" s="12">
        <v>2</v>
      </c>
      <c r="J2" s="12"/>
      <c r="K2" s="13" t="s">
        <v>84</v>
      </c>
      <c r="L2" s="15">
        <v>0.03</v>
      </c>
      <c r="M2" s="15">
        <f>L2*G2</f>
        <v>0.03</v>
      </c>
      <c r="N2" s="12"/>
    </row>
    <row r="3" s="2" customFormat="1" ht="15" customHeight="1" spans="1:14">
      <c r="A3" s="12">
        <v>2</v>
      </c>
      <c r="B3" s="13" t="s">
        <v>85</v>
      </c>
      <c r="C3" s="13" t="s">
        <v>86</v>
      </c>
      <c r="D3" s="13" t="s">
        <v>87</v>
      </c>
      <c r="E3" s="13" t="s">
        <v>81</v>
      </c>
      <c r="F3" s="16" t="s">
        <v>88</v>
      </c>
      <c r="G3" s="13">
        <v>2</v>
      </c>
      <c r="H3" s="13" t="s">
        <v>83</v>
      </c>
      <c r="I3" s="12">
        <v>4</v>
      </c>
      <c r="J3" s="12"/>
      <c r="K3" s="13" t="s">
        <v>84</v>
      </c>
      <c r="L3" s="15">
        <v>0.03</v>
      </c>
      <c r="M3" s="15">
        <f t="shared" ref="M3:M27" si="0">L3*G3</f>
        <v>0.06</v>
      </c>
      <c r="N3" s="12"/>
    </row>
    <row r="4" s="2" customFormat="1" ht="15" customHeight="1" spans="1:14">
      <c r="A4" s="12">
        <v>3</v>
      </c>
      <c r="B4" s="13" t="s">
        <v>89</v>
      </c>
      <c r="C4" s="13" t="s">
        <v>90</v>
      </c>
      <c r="D4" s="13" t="s">
        <v>91</v>
      </c>
      <c r="E4" s="13" t="s">
        <v>92</v>
      </c>
      <c r="F4" s="16" t="s">
        <v>93</v>
      </c>
      <c r="G4" s="13">
        <v>1</v>
      </c>
      <c r="H4" s="13" t="s">
        <v>90</v>
      </c>
      <c r="I4" s="12">
        <v>2</v>
      </c>
      <c r="J4" s="12"/>
      <c r="K4" s="13" t="s">
        <v>94</v>
      </c>
      <c r="L4" s="15">
        <v>0.3</v>
      </c>
      <c r="M4" s="15">
        <f t="shared" si="0"/>
        <v>0.3</v>
      </c>
      <c r="N4" s="17" t="s">
        <v>95</v>
      </c>
    </row>
    <row r="5" s="2" customFormat="1" ht="15" customHeight="1" spans="1:14">
      <c r="A5" s="12">
        <v>4</v>
      </c>
      <c r="B5" s="13" t="s">
        <v>96</v>
      </c>
      <c r="C5" s="13" t="s">
        <v>97</v>
      </c>
      <c r="D5" s="13" t="s">
        <v>98</v>
      </c>
      <c r="E5" s="13" t="s">
        <v>81</v>
      </c>
      <c r="F5" s="16" t="s">
        <v>99</v>
      </c>
      <c r="G5" s="13">
        <v>1</v>
      </c>
      <c r="H5" s="13" t="s">
        <v>83</v>
      </c>
      <c r="I5" s="12">
        <v>2</v>
      </c>
      <c r="J5" s="12"/>
      <c r="K5" s="13" t="s">
        <v>84</v>
      </c>
      <c r="L5" s="15">
        <v>0.03</v>
      </c>
      <c r="M5" s="15">
        <f t="shared" si="0"/>
        <v>0.03</v>
      </c>
      <c r="N5" s="17"/>
    </row>
    <row r="6" s="2" customFormat="1" ht="15" customHeight="1" spans="1:14">
      <c r="A6" s="12">
        <v>5</v>
      </c>
      <c r="B6" s="13" t="s">
        <v>100</v>
      </c>
      <c r="C6" s="13" t="s">
        <v>101</v>
      </c>
      <c r="D6" s="13" t="s">
        <v>102</v>
      </c>
      <c r="E6" s="13" t="s">
        <v>103</v>
      </c>
      <c r="F6" s="16" t="s">
        <v>104</v>
      </c>
      <c r="G6" s="13">
        <v>2</v>
      </c>
      <c r="H6" s="13" t="s">
        <v>101</v>
      </c>
      <c r="I6" s="12"/>
      <c r="J6" s="12">
        <v>4</v>
      </c>
      <c r="K6" s="13" t="s">
        <v>94</v>
      </c>
      <c r="L6" s="15">
        <v>0.06</v>
      </c>
      <c r="M6" s="15">
        <f t="shared" si="0"/>
        <v>0.12</v>
      </c>
      <c r="N6" s="17" t="s">
        <v>105</v>
      </c>
    </row>
    <row r="7" s="2" customFormat="1" ht="15" customHeight="1" spans="1:14">
      <c r="A7" s="12">
        <v>6</v>
      </c>
      <c r="B7" s="13" t="s">
        <v>106</v>
      </c>
      <c r="C7" s="13" t="s">
        <v>107</v>
      </c>
      <c r="D7" s="13" t="s">
        <v>108</v>
      </c>
      <c r="E7" s="13" t="s">
        <v>109</v>
      </c>
      <c r="F7" s="16" t="s">
        <v>110</v>
      </c>
      <c r="G7" s="13">
        <v>1</v>
      </c>
      <c r="H7" s="13" t="s">
        <v>107</v>
      </c>
      <c r="I7" s="12">
        <v>3</v>
      </c>
      <c r="J7" s="12"/>
      <c r="K7" s="13" t="s">
        <v>94</v>
      </c>
      <c r="L7" s="15">
        <v>0.54</v>
      </c>
      <c r="M7" s="15">
        <f t="shared" si="0"/>
        <v>0.54</v>
      </c>
      <c r="N7" s="12"/>
    </row>
    <row r="8" s="2" customFormat="1" ht="15" customHeight="1" spans="1:14">
      <c r="A8" s="12">
        <v>7</v>
      </c>
      <c r="B8" s="13" t="s">
        <v>111</v>
      </c>
      <c r="C8" s="13" t="s">
        <v>112</v>
      </c>
      <c r="D8" s="13" t="s">
        <v>113</v>
      </c>
      <c r="E8" s="13" t="s">
        <v>114</v>
      </c>
      <c r="F8" s="16" t="s">
        <v>115</v>
      </c>
      <c r="G8" s="13">
        <v>1</v>
      </c>
      <c r="H8" s="13" t="s">
        <v>116</v>
      </c>
      <c r="I8" s="12"/>
      <c r="J8" s="12">
        <v>7</v>
      </c>
      <c r="K8" s="13" t="s">
        <v>94</v>
      </c>
      <c r="L8" s="15">
        <v>2.75</v>
      </c>
      <c r="M8" s="15">
        <f t="shared" si="0"/>
        <v>2.75</v>
      </c>
      <c r="N8" s="12"/>
    </row>
    <row r="9" s="2" customFormat="1" ht="15" customHeight="1" spans="1:14">
      <c r="A9" s="12">
        <v>8</v>
      </c>
      <c r="B9" s="13" t="s">
        <v>117</v>
      </c>
      <c r="C9" s="13" t="s">
        <v>118</v>
      </c>
      <c r="D9" s="13" t="s">
        <v>119</v>
      </c>
      <c r="E9" s="13" t="s">
        <v>81</v>
      </c>
      <c r="F9" s="16" t="s">
        <v>120</v>
      </c>
      <c r="G9" s="13">
        <v>1</v>
      </c>
      <c r="H9" s="13" t="s">
        <v>121</v>
      </c>
      <c r="I9" s="12">
        <f>G9*2</f>
        <v>2</v>
      </c>
      <c r="J9" s="12"/>
      <c r="K9" s="13" t="s">
        <v>94</v>
      </c>
      <c r="L9" s="15">
        <v>0.23</v>
      </c>
      <c r="M9" s="15">
        <f t="shared" si="0"/>
        <v>0.23</v>
      </c>
      <c r="N9" s="12"/>
    </row>
    <row r="10" s="2" customFormat="1" ht="15" customHeight="1" spans="1:14">
      <c r="A10" s="12">
        <v>9</v>
      </c>
      <c r="B10" s="13" t="s">
        <v>122</v>
      </c>
      <c r="C10" s="13" t="s">
        <v>123</v>
      </c>
      <c r="D10" s="13" t="s">
        <v>119</v>
      </c>
      <c r="E10" s="13" t="s">
        <v>81</v>
      </c>
      <c r="F10" s="16" t="s">
        <v>120</v>
      </c>
      <c r="G10" s="13">
        <v>1</v>
      </c>
      <c r="H10" s="13" t="s">
        <v>124</v>
      </c>
      <c r="I10" s="12">
        <f t="shared" ref="I10:I17" si="1">G10*2</f>
        <v>2</v>
      </c>
      <c r="J10" s="12"/>
      <c r="K10" s="13" t="s">
        <v>94</v>
      </c>
      <c r="L10" s="15">
        <v>0.45</v>
      </c>
      <c r="M10" s="15">
        <f t="shared" si="0"/>
        <v>0.45</v>
      </c>
      <c r="N10" s="12"/>
    </row>
    <row r="11" s="2" customFormat="1" ht="15" customHeight="1" spans="1:14">
      <c r="A11" s="12">
        <v>10</v>
      </c>
      <c r="B11" s="13" t="s">
        <v>125</v>
      </c>
      <c r="C11" s="13" t="s">
        <v>126</v>
      </c>
      <c r="D11" s="13" t="s">
        <v>119</v>
      </c>
      <c r="E11" s="13" t="s">
        <v>81</v>
      </c>
      <c r="F11" s="16" t="s">
        <v>120</v>
      </c>
      <c r="G11" s="13">
        <v>1</v>
      </c>
      <c r="H11" s="13" t="s">
        <v>127</v>
      </c>
      <c r="I11" s="12">
        <f t="shared" si="1"/>
        <v>2</v>
      </c>
      <c r="J11" s="12"/>
      <c r="K11" s="13" t="s">
        <v>94</v>
      </c>
      <c r="L11" s="15">
        <v>0.14</v>
      </c>
      <c r="M11" s="15">
        <f t="shared" si="0"/>
        <v>0.14</v>
      </c>
      <c r="N11" s="12"/>
    </row>
    <row r="12" s="2" customFormat="1" ht="15" customHeight="1" spans="1:14">
      <c r="A12" s="12">
        <v>11</v>
      </c>
      <c r="B12" s="13" t="s">
        <v>128</v>
      </c>
      <c r="C12" s="13" t="s">
        <v>126</v>
      </c>
      <c r="D12" s="13" t="s">
        <v>119</v>
      </c>
      <c r="E12" s="13" t="s">
        <v>81</v>
      </c>
      <c r="F12" s="16" t="s">
        <v>120</v>
      </c>
      <c r="G12" s="13">
        <v>3</v>
      </c>
      <c r="H12" s="13" t="s">
        <v>127</v>
      </c>
      <c r="I12" s="12">
        <f t="shared" si="1"/>
        <v>6</v>
      </c>
      <c r="J12" s="12"/>
      <c r="K12" s="13" t="s">
        <v>94</v>
      </c>
      <c r="L12" s="15">
        <v>0.15</v>
      </c>
      <c r="M12" s="15">
        <f t="shared" si="0"/>
        <v>0.45</v>
      </c>
      <c r="N12" s="12"/>
    </row>
    <row r="13" s="2" customFormat="1" ht="15" customHeight="1" spans="1:14">
      <c r="A13" s="12">
        <v>12</v>
      </c>
      <c r="B13" s="13" t="s">
        <v>129</v>
      </c>
      <c r="C13" s="13" t="s">
        <v>130</v>
      </c>
      <c r="D13" s="13" t="s">
        <v>119</v>
      </c>
      <c r="E13" s="13" t="s">
        <v>131</v>
      </c>
      <c r="F13" s="16" t="s">
        <v>120</v>
      </c>
      <c r="G13" s="13">
        <v>1</v>
      </c>
      <c r="H13" s="13" t="s">
        <v>132</v>
      </c>
      <c r="I13" s="12">
        <f t="shared" si="1"/>
        <v>2</v>
      </c>
      <c r="J13" s="12"/>
      <c r="K13" s="13" t="s">
        <v>94</v>
      </c>
      <c r="L13" s="15">
        <v>0.26</v>
      </c>
      <c r="M13" s="15">
        <f t="shared" si="0"/>
        <v>0.26</v>
      </c>
      <c r="N13" s="12"/>
    </row>
    <row r="14" s="2" customFormat="1" ht="15" customHeight="1" spans="1:14">
      <c r="A14" s="12">
        <v>13</v>
      </c>
      <c r="B14" s="13" t="s">
        <v>133</v>
      </c>
      <c r="C14" s="13" t="s">
        <v>123</v>
      </c>
      <c r="D14" s="13" t="s">
        <v>119</v>
      </c>
      <c r="E14" s="13" t="s">
        <v>131</v>
      </c>
      <c r="F14" s="16" t="s">
        <v>120</v>
      </c>
      <c r="G14" s="13">
        <v>2</v>
      </c>
      <c r="H14" s="13" t="s">
        <v>134</v>
      </c>
      <c r="I14" s="12">
        <f t="shared" si="1"/>
        <v>4</v>
      </c>
      <c r="J14" s="12"/>
      <c r="K14" s="13" t="s">
        <v>94</v>
      </c>
      <c r="L14" s="15">
        <v>0.12</v>
      </c>
      <c r="M14" s="15">
        <f t="shared" si="0"/>
        <v>0.24</v>
      </c>
      <c r="N14" s="12"/>
    </row>
    <row r="15" s="2" customFormat="1" ht="15" customHeight="1" spans="1:14">
      <c r="A15" s="12">
        <v>14</v>
      </c>
      <c r="B15" s="13" t="s">
        <v>135</v>
      </c>
      <c r="C15" s="13" t="s">
        <v>123</v>
      </c>
      <c r="D15" s="13" t="s">
        <v>119</v>
      </c>
      <c r="E15" s="13" t="s">
        <v>131</v>
      </c>
      <c r="F15" s="16" t="s">
        <v>120</v>
      </c>
      <c r="G15" s="13">
        <v>1</v>
      </c>
      <c r="H15" s="13" t="s">
        <v>134</v>
      </c>
      <c r="I15" s="12">
        <f t="shared" si="1"/>
        <v>2</v>
      </c>
      <c r="J15" s="12"/>
      <c r="K15" s="13" t="s">
        <v>94</v>
      </c>
      <c r="L15" s="15">
        <v>0.12</v>
      </c>
      <c r="M15" s="15">
        <f t="shared" si="0"/>
        <v>0.12</v>
      </c>
      <c r="N15" s="12"/>
    </row>
    <row r="16" s="2" customFormat="1" ht="15" customHeight="1" spans="1:14">
      <c r="A16" s="12">
        <v>15</v>
      </c>
      <c r="B16" s="13" t="s">
        <v>136</v>
      </c>
      <c r="C16" s="13" t="s">
        <v>86</v>
      </c>
      <c r="D16" s="13" t="s">
        <v>137</v>
      </c>
      <c r="E16" s="13" t="s">
        <v>81</v>
      </c>
      <c r="F16" s="16" t="s">
        <v>138</v>
      </c>
      <c r="G16" s="13">
        <v>1</v>
      </c>
      <c r="H16" s="13" t="s">
        <v>139</v>
      </c>
      <c r="I16" s="12">
        <f t="shared" si="1"/>
        <v>2</v>
      </c>
      <c r="J16" s="12"/>
      <c r="K16" s="13" t="s">
        <v>94</v>
      </c>
      <c r="L16" s="15">
        <v>0.15</v>
      </c>
      <c r="M16" s="15">
        <f t="shared" si="0"/>
        <v>0.15</v>
      </c>
      <c r="N16" s="12"/>
    </row>
    <row r="17" s="2" customFormat="1" ht="15" customHeight="1" spans="1:14">
      <c r="A17" s="12">
        <v>16</v>
      </c>
      <c r="B17" s="13" t="s">
        <v>140</v>
      </c>
      <c r="C17" s="13" t="s">
        <v>141</v>
      </c>
      <c r="D17" s="13" t="s">
        <v>137</v>
      </c>
      <c r="E17" s="13" t="s">
        <v>81</v>
      </c>
      <c r="F17" s="16" t="s">
        <v>138</v>
      </c>
      <c r="G17" s="13">
        <v>1</v>
      </c>
      <c r="H17" s="13" t="s">
        <v>142</v>
      </c>
      <c r="I17" s="12">
        <f t="shared" si="1"/>
        <v>2</v>
      </c>
      <c r="J17" s="12"/>
      <c r="K17" s="13" t="s">
        <v>94</v>
      </c>
      <c r="L17" s="15">
        <v>0.15</v>
      </c>
      <c r="M17" s="15">
        <f t="shared" si="0"/>
        <v>0.15</v>
      </c>
      <c r="N17" s="12"/>
    </row>
    <row r="18" s="2" customFormat="1" ht="15" customHeight="1" spans="1:14">
      <c r="A18" s="12">
        <v>17</v>
      </c>
      <c r="B18" s="13" t="s">
        <v>143</v>
      </c>
      <c r="C18" s="13" t="s">
        <v>144</v>
      </c>
      <c r="D18" s="13" t="s">
        <v>145</v>
      </c>
      <c r="E18" s="13" t="s">
        <v>146</v>
      </c>
      <c r="F18" s="16" t="s">
        <v>93</v>
      </c>
      <c r="G18" s="13">
        <v>1</v>
      </c>
      <c r="H18" s="13" t="s">
        <v>144</v>
      </c>
      <c r="I18" s="12">
        <v>2</v>
      </c>
      <c r="J18" s="12"/>
      <c r="K18" s="13" t="s">
        <v>94</v>
      </c>
      <c r="L18" s="15">
        <v>0.15</v>
      </c>
      <c r="M18" s="15">
        <f t="shared" si="0"/>
        <v>0.15</v>
      </c>
      <c r="N18" s="12"/>
    </row>
    <row r="19" s="2" customFormat="1" ht="15" customHeight="1" spans="1:14">
      <c r="A19" s="12">
        <v>18</v>
      </c>
      <c r="B19" s="13" t="s">
        <v>147</v>
      </c>
      <c r="C19" s="13" t="s">
        <v>148</v>
      </c>
      <c r="D19" s="13" t="s">
        <v>149</v>
      </c>
      <c r="E19" s="13" t="s">
        <v>150</v>
      </c>
      <c r="F19" s="16" t="s">
        <v>151</v>
      </c>
      <c r="G19" s="13">
        <v>1</v>
      </c>
      <c r="H19" s="13" t="s">
        <v>148</v>
      </c>
      <c r="I19" s="12">
        <v>5</v>
      </c>
      <c r="J19" s="12"/>
      <c r="K19" s="13" t="s">
        <v>94</v>
      </c>
      <c r="L19" s="15">
        <v>0.19</v>
      </c>
      <c r="M19" s="15">
        <f t="shared" si="0"/>
        <v>0.19</v>
      </c>
      <c r="N19" s="12"/>
    </row>
    <row r="20" s="2" customFormat="1" ht="15" customHeight="1" spans="1:14">
      <c r="A20" s="12">
        <v>19</v>
      </c>
      <c r="B20" s="13" t="s">
        <v>152</v>
      </c>
      <c r="C20" s="13" t="s">
        <v>153</v>
      </c>
      <c r="D20" s="13" t="s">
        <v>154</v>
      </c>
      <c r="E20" s="13" t="s">
        <v>155</v>
      </c>
      <c r="F20" s="16" t="s">
        <v>156</v>
      </c>
      <c r="G20" s="13">
        <v>1</v>
      </c>
      <c r="H20" s="13" t="s">
        <v>157</v>
      </c>
      <c r="I20" s="12"/>
      <c r="J20" s="12">
        <v>4</v>
      </c>
      <c r="K20" s="13" t="s">
        <v>94</v>
      </c>
      <c r="L20" s="15">
        <v>2</v>
      </c>
      <c r="M20" s="15">
        <f t="shared" si="0"/>
        <v>2</v>
      </c>
      <c r="N20" s="12"/>
    </row>
    <row r="21" s="2" customFormat="1" ht="15" customHeight="1" spans="1:14">
      <c r="A21" s="12">
        <v>20</v>
      </c>
      <c r="B21" s="13" t="s">
        <v>158</v>
      </c>
      <c r="C21" s="13" t="s">
        <v>159</v>
      </c>
      <c r="D21" s="13" t="s">
        <v>160</v>
      </c>
      <c r="E21" s="13" t="s">
        <v>161</v>
      </c>
      <c r="F21" s="16" t="s">
        <v>162</v>
      </c>
      <c r="G21" s="13">
        <v>1</v>
      </c>
      <c r="H21" s="13" t="s">
        <v>163</v>
      </c>
      <c r="I21" s="12"/>
      <c r="J21" s="12">
        <v>15</v>
      </c>
      <c r="K21" s="13" t="s">
        <v>94</v>
      </c>
      <c r="L21" s="15">
        <v>5.46</v>
      </c>
      <c r="M21" s="15">
        <f t="shared" si="0"/>
        <v>5.46</v>
      </c>
      <c r="N21" s="12"/>
    </row>
    <row r="22" s="2" customFormat="1" ht="15" customHeight="1" spans="1:14">
      <c r="A22" s="12">
        <v>21</v>
      </c>
      <c r="B22" s="13" t="s">
        <v>164</v>
      </c>
      <c r="C22" s="13" t="s">
        <v>165</v>
      </c>
      <c r="D22" s="13" t="s">
        <v>160</v>
      </c>
      <c r="E22" s="13" t="s">
        <v>161</v>
      </c>
      <c r="F22" s="16" t="s">
        <v>162</v>
      </c>
      <c r="G22" s="13">
        <v>1</v>
      </c>
      <c r="H22" s="13" t="s">
        <v>163</v>
      </c>
      <c r="I22" s="12"/>
      <c r="J22" s="12">
        <v>15</v>
      </c>
      <c r="K22" s="13" t="s">
        <v>94</v>
      </c>
      <c r="L22" s="15">
        <v>5.46</v>
      </c>
      <c r="M22" s="15">
        <f t="shared" si="0"/>
        <v>5.46</v>
      </c>
      <c r="N22" s="12"/>
    </row>
    <row r="23" s="2" customFormat="1" ht="15" customHeight="1" spans="1:14">
      <c r="A23" s="12">
        <v>22</v>
      </c>
      <c r="B23" s="13" t="s">
        <v>166</v>
      </c>
      <c r="C23" s="13" t="s">
        <v>167</v>
      </c>
      <c r="D23" s="13" t="s">
        <v>168</v>
      </c>
      <c r="E23" s="13" t="s">
        <v>169</v>
      </c>
      <c r="F23" s="16" t="s">
        <v>151</v>
      </c>
      <c r="G23" s="13">
        <v>1</v>
      </c>
      <c r="H23" s="13" t="s">
        <v>167</v>
      </c>
      <c r="I23" s="12">
        <v>4</v>
      </c>
      <c r="J23" s="12"/>
      <c r="K23" s="13" t="s">
        <v>94</v>
      </c>
      <c r="L23" s="15">
        <v>0.51</v>
      </c>
      <c r="M23" s="15">
        <f t="shared" si="0"/>
        <v>0.51</v>
      </c>
      <c r="N23" s="12"/>
    </row>
    <row r="24" s="2" customFormat="1" ht="15" customHeight="1" spans="1:14">
      <c r="A24" s="12">
        <v>23</v>
      </c>
      <c r="B24" s="13" t="s">
        <v>170</v>
      </c>
      <c r="C24" s="13" t="s">
        <v>171</v>
      </c>
      <c r="D24" s="13" t="s">
        <v>172</v>
      </c>
      <c r="E24" s="13" t="s">
        <v>173</v>
      </c>
      <c r="F24" s="16" t="s">
        <v>151</v>
      </c>
      <c r="G24" s="13">
        <v>1</v>
      </c>
      <c r="H24" s="13" t="s">
        <v>171</v>
      </c>
      <c r="I24" s="12">
        <v>16</v>
      </c>
      <c r="J24" s="12"/>
      <c r="K24" s="13" t="s">
        <v>94</v>
      </c>
      <c r="L24" s="15">
        <v>1.69</v>
      </c>
      <c r="M24" s="15">
        <f t="shared" si="0"/>
        <v>1.69</v>
      </c>
      <c r="N24" s="18" t="s">
        <v>174</v>
      </c>
    </row>
    <row r="25" s="2" customFormat="1" ht="15" customHeight="1" spans="1:14">
      <c r="A25" s="12">
        <v>24</v>
      </c>
      <c r="B25" s="13" t="s">
        <v>175</v>
      </c>
      <c r="C25" s="13" t="s">
        <v>176</v>
      </c>
      <c r="D25" s="13" t="s">
        <v>177</v>
      </c>
      <c r="E25" s="13" t="s">
        <v>178</v>
      </c>
      <c r="F25" s="16" t="s">
        <v>179</v>
      </c>
      <c r="G25" s="13">
        <v>1</v>
      </c>
      <c r="H25" s="13" t="s">
        <v>180</v>
      </c>
      <c r="I25" s="12"/>
      <c r="J25" s="12">
        <v>2</v>
      </c>
      <c r="K25" s="13" t="s">
        <v>94</v>
      </c>
      <c r="L25" s="15">
        <v>0.35</v>
      </c>
      <c r="M25" s="15">
        <f t="shared" si="0"/>
        <v>0.35</v>
      </c>
      <c r="N25" s="12"/>
    </row>
    <row r="26" s="3" customFormat="1" ht="48" customHeight="1" spans="1:14">
      <c r="A26" s="19">
        <v>25</v>
      </c>
      <c r="B26" s="19" t="s">
        <v>181</v>
      </c>
      <c r="C26" s="19" t="s">
        <v>182</v>
      </c>
      <c r="D26" s="19" t="s">
        <v>183</v>
      </c>
      <c r="E26" s="19" t="s">
        <v>184</v>
      </c>
      <c r="F26" s="20" t="s">
        <v>185</v>
      </c>
      <c r="G26" s="19">
        <v>1</v>
      </c>
      <c r="H26" s="19" t="s">
        <v>186</v>
      </c>
      <c r="I26" s="19">
        <v>2</v>
      </c>
      <c r="J26" s="19"/>
      <c r="K26" s="19" t="s">
        <v>94</v>
      </c>
      <c r="L26" s="21">
        <v>5.27</v>
      </c>
      <c r="M26" s="21">
        <f t="shared" si="0"/>
        <v>5.27</v>
      </c>
      <c r="N26" s="22" t="s">
        <v>187</v>
      </c>
    </row>
    <row r="27" s="3" customFormat="1" ht="45" customHeight="1" spans="1:14">
      <c r="A27" s="23">
        <v>26</v>
      </c>
      <c r="B27" s="24" t="s">
        <v>188</v>
      </c>
      <c r="C27" s="24"/>
      <c r="D27" s="24"/>
      <c r="E27" s="24"/>
      <c r="F27" s="24"/>
      <c r="G27" s="24">
        <v>1</v>
      </c>
      <c r="H27" s="24" t="s">
        <v>189</v>
      </c>
      <c r="I27" s="23"/>
      <c r="J27" s="23"/>
      <c r="K27" s="24" t="s">
        <v>94</v>
      </c>
      <c r="L27" s="25">
        <v>0.38</v>
      </c>
      <c r="M27" s="25">
        <f t="shared" si="0"/>
        <v>0.38</v>
      </c>
      <c r="N27" s="18" t="s">
        <v>190</v>
      </c>
    </row>
    <row r="28" s="4" customFormat="1" spans="1:14">
      <c r="A28" s="26"/>
      <c r="B28" s="26"/>
      <c r="C28" s="27"/>
      <c r="D28" s="27"/>
      <c r="E28" s="27"/>
      <c r="F28" s="27"/>
      <c r="G28" s="26">
        <f>SUM(G2:G27)</f>
        <v>31</v>
      </c>
      <c r="H28" s="28"/>
      <c r="I28" s="28">
        <f>SUM(I2:I27)</f>
        <v>66</v>
      </c>
      <c r="J28" s="28">
        <f>SUM(J2:J27)</f>
        <v>47</v>
      </c>
      <c r="K28" s="28"/>
      <c r="L28" s="29">
        <f>SUM(L2:L27)</f>
        <v>26.97</v>
      </c>
      <c r="M28" s="29">
        <f>SUM(M2:M27)</f>
        <v>27.48</v>
      </c>
      <c r="N28" s="28"/>
    </row>
    <row r="32" spans="1:14">
      <c r="C32" s="30"/>
      <c r="D32" s="30"/>
    </row>
    <row r="33" spans="3:4">
      <c r="C33" s="30"/>
      <c r="D33" s="30"/>
    </row>
    <row r="34" spans="3:4">
      <c r="C34" s="30"/>
      <c r="D34" s="30"/>
    </row>
    <row r="35" spans="3:4">
      <c r="C35" s="30"/>
      <c r="D35" s="30"/>
    </row>
    <row r="36" spans="3:4">
      <c r="C36" s="30"/>
      <c r="D36" s="30"/>
    </row>
    <row r="37" spans="3:4">
      <c r="C37" s="30"/>
      <c r="D37" s="30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Peace</dc:creator>
  <cp:lastModifiedBy>王京</cp:lastModifiedBy>
  <dcterms:created xsi:type="dcterms:W3CDTF">2019-03-27T11:58:00Z</dcterms:created>
  <dcterms:modified xsi:type="dcterms:W3CDTF">2026-08-25T06:39:39Z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D6E13E62A6AF4696B0D15A1CFE50672D_13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